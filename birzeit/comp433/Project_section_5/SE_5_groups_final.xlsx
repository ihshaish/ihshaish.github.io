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Cycle Summary" sheetId="1" state="visible" r:id="rId1"/>
    <sheet xmlns:r="http://schemas.openxmlformats.org/officeDocument/2006/relationships" name="Project Groups" sheetId="2" state="visible" r:id="rId2"/>
    <sheet xmlns:r="http://schemas.openxmlformats.org/officeDocument/2006/relationships" name="Unassigned" sheetId="3" state="visible" r:id="rId3"/>
    <sheet xmlns:r="http://schemas.openxmlformats.org/officeDocument/2006/relationships" name="Project Timeline" sheetId="4" state="visible" r:id="rId4"/>
  </sheets>
  <definedNames/>
  <calcPr calcId="191028" fullCalcOnLoad="1" iterateDelta="0.0001"/>
</workbook>
</file>

<file path=xl/styles.xml><?xml version="1.0" encoding="utf-8"?>
<styleSheet xmlns="http://schemas.openxmlformats.org/spreadsheetml/2006/main">
  <numFmts count="0"/>
  <fonts count="11">
    <font>
      <name val="Calibri"/>
      <charset val="1"/>
      <family val="2"/>
      <color theme="1"/>
      <sz val="11"/>
    </font>
    <font>
      <name val="Georgia"/>
      <charset val="1"/>
      <b val="1"/>
      <color rgb="FF2C5F7C"/>
      <sz val="14"/>
    </font>
    <font>
      <name val="Calibri"/>
      <charset val="1"/>
      <color rgb="FF777777"/>
      <sz val="11"/>
    </font>
    <font>
      <name val="Calibri"/>
      <charset val="1"/>
      <color rgb="FF333333"/>
      <sz val="10"/>
    </font>
    <font>
      <name val="Calibri"/>
      <charset val="1"/>
      <b val="1"/>
      <color rgb="FFFFFFFF"/>
      <sz val="11"/>
    </font>
    <font>
      <name val="Calibri"/>
      <charset val="1"/>
      <b val="1"/>
      <color rgb="FF333333"/>
      <sz val="10"/>
    </font>
    <font>
      <name val="Georgia"/>
      <charset val="1"/>
      <b val="1"/>
      <color rgb="FF2C5F7C"/>
      <sz val="12"/>
    </font>
    <font>
      <name val="Calibri"/>
      <charset val="1"/>
      <i val="1"/>
      <color rgb="FF777777"/>
      <sz val="10"/>
    </font>
    <font>
      <name val="Calibri"/>
      <charset val="1"/>
      <b val="1"/>
      <color rgb="FFFFFFFF"/>
      <sz val="14"/>
    </font>
    <font>
      <name val="Calibri"/>
      <charset val="1"/>
      <i val="1"/>
      <color rgb="FF555555"/>
      <sz val="11"/>
    </font>
    <font>
      <name val="Calibri"/>
      <charset val="1"/>
      <i val="1"/>
      <color rgb="FF8A6D00"/>
      <sz val="9"/>
    </font>
  </fonts>
  <fills count="7">
    <fill>
      <patternFill/>
    </fill>
    <fill>
      <patternFill patternType="gray125"/>
    </fill>
    <fill>
      <patternFill patternType="solid">
        <fgColor rgb="FF2C5F7C"/>
        <bgColor rgb="FF555555"/>
      </patternFill>
    </fill>
    <fill>
      <patternFill patternType="solid">
        <fgColor rgb="FFFFF4D6"/>
        <bgColor rgb="FFF0F4F8"/>
      </patternFill>
    </fill>
    <fill>
      <patternFill patternType="solid">
        <fgColor rgb="FFF0F4F8"/>
        <bgColor rgb="FFE8F0F4"/>
      </patternFill>
    </fill>
    <fill>
      <patternFill patternType="solid">
        <fgColor rgb="FFDEE2E6"/>
        <bgColor rgb="FFE8F0F4"/>
      </patternFill>
    </fill>
    <fill>
      <patternFill patternType="solid">
        <fgColor rgb="FFE8F0F4"/>
        <bgColor rgb="FFF0F4F8"/>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999999"/>
      </left>
      <right style="thin">
        <color rgb="FF999999"/>
      </right>
      <top style="thin">
        <color rgb="FF999999"/>
      </top>
      <bottom style="thin">
        <color rgb="FF999999"/>
      </bottom>
      <diagonal/>
    </border>
    <border>
      <left style="thin">
        <color rgb="FFAAAAAA"/>
      </left>
      <right/>
      <top/>
      <bottom/>
      <diagonal/>
    </border>
    <border>
      <left style="thin">
        <color rgb="FFAAAAAA"/>
      </left>
      <right style="thin">
        <color rgb="FFAAAAAA"/>
      </right>
      <top/>
      <bottom/>
      <diagonal/>
    </border>
    <border>
      <left style="thin">
        <color rgb="FFAAAAAA"/>
      </left>
      <right style="thin">
        <color rgb="FFAAAAAA"/>
      </right>
      <top/>
      <bottom style="thin">
        <color rgb="FFAAAAAA"/>
      </bottom>
      <diagonal/>
    </border>
    <border>
      <left/>
      <right/>
      <top style="thin">
        <color rgb="FFAAAAAA"/>
      </top>
      <bottom/>
      <diagonal/>
    </border>
    <border>
      <left/>
      <right style="thin">
        <color rgb="FFAAAAAA"/>
      </right>
      <top style="thin">
        <color rgb="FFAAAAAA"/>
      </top>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36">
    <xf numFmtId="0" fontId="0" fillId="0" borderId="0" pivotButton="0" quotePrefix="0" xfId="0"/>
    <xf numFmtId="0" fontId="5" fillId="0" borderId="0" applyAlignment="1" pivotButton="0" quotePrefix="0" xfId="0">
      <alignment horizontal="left" vertical="top" wrapText="1"/>
    </xf>
    <xf numFmtId="0" fontId="4" fillId="2" borderId="1" applyAlignment="1" pivotButton="0" quotePrefix="0" xfId="0">
      <alignment horizontal="center" vertical="center" wrapText="1"/>
    </xf>
    <xf numFmtId="0" fontId="3" fillId="0" borderId="0" applyAlignment="1" pivotButton="0" quotePrefix="0" xfId="0">
      <alignment horizontal="left" vertical="top" wrapText="1"/>
    </xf>
    <xf numFmtId="0" fontId="5" fillId="0" borderId="1" applyAlignment="1" pivotButton="0" quotePrefix="0" xfId="0">
      <alignment horizontal="left" vertical="top" wrapText="1"/>
    </xf>
    <xf numFmtId="0" fontId="3" fillId="0" borderId="1" applyAlignment="1" pivotButton="0" quotePrefix="0" xfId="0">
      <alignment horizontal="left" vertical="top" wrapText="1"/>
    </xf>
    <xf numFmtId="0" fontId="6" fillId="0" borderId="0" pivotButton="0" quotePrefix="0" xfId="0"/>
    <xf numFmtId="0" fontId="5" fillId="5" borderId="1" applyAlignment="1" pivotButton="0" quotePrefix="0" xfId="0">
      <alignment horizontal="center" vertical="center" wrapText="1"/>
    </xf>
    <xf numFmtId="0" fontId="5" fillId="6" borderId="1" applyAlignment="1" pivotButton="0" quotePrefix="0" xfId="0">
      <alignment horizontal="left" vertical="top" wrapText="1"/>
    </xf>
    <xf numFmtId="0" fontId="0" fillId="0" borderId="1" applyAlignment="1" pivotButton="0" quotePrefix="0" xfId="0">
      <alignment horizontal="left" vertical="top" wrapText="1"/>
    </xf>
    <xf numFmtId="0" fontId="7" fillId="0" borderId="1" applyAlignment="1" pivotButton="0" quotePrefix="0" xfId="0">
      <alignment horizontal="left" vertical="top" wrapText="1"/>
    </xf>
    <xf numFmtId="0" fontId="5" fillId="0" borderId="0" pivotButton="0" quotePrefix="0" xfId="0"/>
    <xf numFmtId="0" fontId="5" fillId="0" borderId="0" applyAlignment="1" pivotButton="0" quotePrefix="0" xfId="0">
      <alignment horizontal="center" vertical="center" wrapText="1"/>
    </xf>
    <xf numFmtId="0" fontId="4" fillId="2" borderId="0" applyAlignment="1" pivotButton="0" quotePrefix="0" xfId="0">
      <alignment horizontal="center" vertical="center" wrapText="1"/>
    </xf>
    <xf numFmtId="0" fontId="4" fillId="2" borderId="2" applyAlignment="1" pivotButton="0" quotePrefix="0" xfId="0">
      <alignment horizontal="center" vertical="center" wrapText="1"/>
    </xf>
    <xf numFmtId="0" fontId="5" fillId="4" borderId="2" applyAlignment="1" pivotButton="0" quotePrefix="0" xfId="0">
      <alignment horizontal="left" vertical="top" wrapText="1"/>
    </xf>
    <xf numFmtId="0" fontId="5"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2" applyAlignment="1" pivotButton="0" quotePrefix="0" xfId="0">
      <alignment horizontal="center" vertical="center" wrapText="1"/>
    </xf>
    <xf numFmtId="0" fontId="1" fillId="0" borderId="0" applyAlignment="1" pivotButton="0" quotePrefix="0" xfId="0">
      <alignment horizontal="left" vertical="center" wrapText="1"/>
    </xf>
    <xf numFmtId="0" fontId="3" fillId="0" borderId="0" applyAlignment="1" pivotButton="0" quotePrefix="0" xfId="0">
      <alignment horizontal="left" vertical="top" wrapText="1"/>
    </xf>
    <xf numFmtId="0" fontId="7" fillId="3" borderId="0" applyAlignment="1" pivotButton="0" quotePrefix="0" xfId="0">
      <alignment horizontal="left" vertical="top" wrapText="1"/>
    </xf>
    <xf numFmtId="0" fontId="5" fillId="0" borderId="0" applyAlignment="1" pivotButton="0" quotePrefix="0" xfId="0">
      <alignment horizontal="left" vertical="top" wrapText="1"/>
    </xf>
    <xf numFmtId="0" fontId="7" fillId="0" borderId="0" applyAlignment="1" pivotButton="0" quotePrefix="0" xfId="0">
      <alignment horizontal="left" vertical="top" wrapText="1"/>
    </xf>
    <xf numFmtId="0" fontId="4" fillId="2" borderId="0" applyAlignment="1" pivotButton="0" quotePrefix="0" xfId="0">
      <alignment horizontal="left" vertical="center" wrapText="1"/>
    </xf>
    <xf numFmtId="0" fontId="3" fillId="4" borderId="0" applyAlignment="1" pivotButton="0" quotePrefix="0" xfId="0">
      <alignment horizontal="left" vertical="top" wrapText="1"/>
    </xf>
    <xf numFmtId="0" fontId="4" fillId="2" borderId="1" applyAlignment="1" pivotButton="0" quotePrefix="0" xfId="0">
      <alignment horizontal="center" vertical="center" wrapText="1"/>
    </xf>
    <xf numFmtId="0" fontId="8" fillId="2" borderId="0" applyAlignment="1" pivotButton="0" quotePrefix="0" xfId="0">
      <alignment horizontal="center" vertical="center" wrapText="1"/>
    </xf>
    <xf numFmtId="0" fontId="9" fillId="4" borderId="0" applyAlignment="1" pivotButton="0" quotePrefix="0" xfId="0">
      <alignment horizontal="center" vertical="center" wrapText="1"/>
    </xf>
    <xf numFmtId="0" fontId="10" fillId="3" borderId="0" applyAlignment="1" pivotButton="0" quotePrefix="0" xfId="0">
      <alignment horizontal="left" vertical="top" wrapText="1"/>
    </xf>
    <xf numFmtId="0" fontId="2" fillId="0" borderId="0" pivotButton="0" quotePrefix="0" xfId="0"/>
    <xf numFmtId="0" fontId="6" fillId="0" borderId="0" pivotButton="0" quotePrefix="0" xfId="0"/>
    <xf numFmtId="0" fontId="1" fillId="0" borderId="0" pivotButton="0" quotePrefix="0" xfId="0"/>
    <xf numFmtId="0" fontId="0" fillId="0" borderId="8" pivotButton="0" quotePrefix="0" xfId="0"/>
    <xf numFmtId="0" fontId="0" fillId="0" borderId="9"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A6D00"/>
      <rgbColor rgb="FF800080"/>
      <rgbColor rgb="FF2C5F7C"/>
      <rgbColor rgb="FFAAAAAA"/>
      <rgbColor rgb="FF777777"/>
      <rgbColor rgb="FF9999FF"/>
      <rgbColor rgb="FF993366"/>
      <rgbColor rgb="FFFFF4D6"/>
      <rgbColor rgb="FFE8F0F4"/>
      <rgbColor rgb="FF660066"/>
      <rgbColor rgb="FFFF8080"/>
      <rgbColor rgb="FF0066CC"/>
      <rgbColor rgb="FFDEE2E6"/>
      <rgbColor rgb="FF000080"/>
      <rgbColor rgb="FFFF00FF"/>
      <rgbColor rgb="FFFFFF00"/>
      <rgbColor rgb="FF00FFFF"/>
      <rgbColor rgb="FF800080"/>
      <rgbColor rgb="FF800000"/>
      <rgbColor rgb="FF008080"/>
      <rgbColor rgb="FF0000FF"/>
      <rgbColor rgb="FF00CCFF"/>
      <rgbColor rgb="FFF0F4F8"/>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3"/>
  <sheetViews>
    <sheetView zoomScaleNormal="100" workbookViewId="0">
      <pane ySplit="5" topLeftCell="A6" activePane="bottomLeft" state="frozen"/>
      <selection pane="bottomLeft" activeCell="A1" sqref="A1"/>
    </sheetView>
  </sheetViews>
  <sheetFormatPr baseColWidth="8" defaultColWidth="8.7109375" defaultRowHeight="15"/>
  <cols>
    <col width="18" customWidth="1" min="1" max="1"/>
    <col width="45" customWidth="1" min="2" max="2"/>
    <col width="18" customWidth="1" min="3" max="3"/>
    <col width="45" customWidth="1" min="4" max="4"/>
  </cols>
  <sheetData>
    <row r="1" ht="17.85" customHeight="1">
      <c r="A1" s="19" t="inlineStr">
        <is>
          <t>COMP433 Software Engineering — Customer / Developer Cycle</t>
        </is>
      </c>
    </row>
    <row r="2">
      <c r="A2" s="30" t="inlineStr">
        <is>
          <t>Section 5  |  Semester 2 (Spring) 2025/2026  |  Instructor: Dr Hisham Ihshaish</t>
        </is>
      </c>
    </row>
    <row r="3" ht="45" customHeight="1">
      <c r="A3" s="20" t="inlineStr">
        <is>
          <t>Each group has TWO roles. Primary role: DEVELOPER on its own allocated business (Phases 1 to 4). Secondary role: CUSTOMER for the next group in the cycle, ONLY for Phase 1 Task 1.1 (writing the 1 to 2 page Business Description).</t>
        </is>
      </c>
    </row>
    <row r="5" ht="30" customHeight="1">
      <c r="A5" s="26" t="inlineStr">
        <is>
          <t>Group (Developer)</t>
        </is>
      </c>
      <c r="B5" s="26" t="inlineStr">
        <is>
          <t>Develops Business</t>
        </is>
      </c>
      <c r="C5" s="26" t="inlineStr">
        <is>
          <t>Acts as Customer for</t>
        </is>
      </c>
      <c r="D5" s="26" t="inlineStr">
        <is>
          <t>Customer writes about Business</t>
        </is>
      </c>
    </row>
    <row r="6" ht="30" customHeight="1">
      <c r="A6" s="4" t="inlineStr">
        <is>
          <t>Group A</t>
        </is>
      </c>
      <c r="B6" s="5" t="inlineStr">
        <is>
          <t>43 — Online pharmacy</t>
        </is>
      </c>
      <c r="C6" s="4" t="inlineStr">
        <is>
          <t>Group B</t>
        </is>
      </c>
      <c r="D6" s="5" t="inlineStr">
        <is>
          <t>49 — Used-book exchange platform</t>
        </is>
      </c>
    </row>
    <row r="7" ht="30" customHeight="1">
      <c r="A7" s="4" t="inlineStr">
        <is>
          <t>Group B</t>
        </is>
      </c>
      <c r="B7" s="5" t="inlineStr">
        <is>
          <t>49 — Used-book exchange platform</t>
        </is>
      </c>
      <c r="C7" s="4" t="inlineStr">
        <is>
          <t>Group C</t>
        </is>
      </c>
      <c r="D7" s="5" t="inlineStr">
        <is>
          <t>44 — Bicycle rental service with damage assessment</t>
        </is>
      </c>
    </row>
    <row r="8" ht="30" customHeight="1">
      <c r="A8" s="4" t="inlineStr">
        <is>
          <t>Group C</t>
        </is>
      </c>
      <c r="B8" s="5" t="inlineStr">
        <is>
          <t>44 — Bicycle rental service with damage assessment</t>
        </is>
      </c>
      <c r="C8" s="4" t="inlineStr">
        <is>
          <t>Group D</t>
        </is>
      </c>
      <c r="D8" s="5" t="inlineStr">
        <is>
          <t>46 — Catering service for events with custom-menu builder</t>
        </is>
      </c>
    </row>
    <row r="9" ht="30" customHeight="1">
      <c r="A9" s="4" t="inlineStr">
        <is>
          <t>Group D</t>
        </is>
      </c>
      <c r="B9" s="5" t="inlineStr">
        <is>
          <t>46 — Catering service for events with custom-menu builder</t>
        </is>
      </c>
      <c r="C9" s="4" t="inlineStr">
        <is>
          <t>Group E</t>
        </is>
      </c>
      <c r="D9" s="5" t="inlineStr">
        <is>
          <t>38 — Personal training studio with health screening and progress tracking</t>
        </is>
      </c>
    </row>
    <row r="10" ht="30" customHeight="1">
      <c r="A10" s="4" t="inlineStr">
        <is>
          <t>Group E</t>
        </is>
      </c>
      <c r="B10" s="5" t="inlineStr">
        <is>
          <t>38 — Personal training studio with health screening and progress tracking</t>
        </is>
      </c>
      <c r="C10" s="4" t="inlineStr">
        <is>
          <t>Group F</t>
        </is>
      </c>
      <c r="D10" s="5" t="inlineStr">
        <is>
          <t>45 — Veterinary clinic appointments</t>
        </is>
      </c>
    </row>
    <row r="11" ht="30" customHeight="1">
      <c r="A11" s="4" t="inlineStr">
        <is>
          <t>Group F</t>
        </is>
      </c>
      <c r="B11" s="5" t="inlineStr">
        <is>
          <t>45 — Veterinary clinic appointments</t>
        </is>
      </c>
      <c r="C11" s="4" t="inlineStr">
        <is>
          <t>Group G</t>
        </is>
      </c>
      <c r="D11" s="5" t="inlineStr">
        <is>
          <t>42 — Mobile phone repair shop with device handover tracking</t>
        </is>
      </c>
    </row>
    <row r="12" ht="30" customHeight="1">
      <c r="A12" s="4" t="inlineStr">
        <is>
          <t>Group G</t>
        </is>
      </c>
      <c r="B12" s="5" t="inlineStr">
        <is>
          <t>42 — Mobile phone repair shop with device handover tracking</t>
        </is>
      </c>
      <c r="C12" s="4" t="inlineStr">
        <is>
          <t>Group H</t>
        </is>
      </c>
      <c r="D12" s="5" t="inlineStr">
        <is>
          <t>41 — Driving school registration</t>
        </is>
      </c>
    </row>
    <row r="13" ht="30" customHeight="1">
      <c r="A13" s="4" t="inlineStr">
        <is>
          <t>Group H</t>
        </is>
      </c>
      <c r="B13" s="5" t="inlineStr">
        <is>
          <t>41 — Driving school registration</t>
        </is>
      </c>
      <c r="C13" s="4" t="inlineStr">
        <is>
          <t>Group I</t>
        </is>
      </c>
      <c r="D13" s="5" t="inlineStr">
        <is>
          <t>39 — BZUride — university ride-sharing platform</t>
        </is>
      </c>
    </row>
    <row r="14" ht="30" customHeight="1">
      <c r="A14" s="4" t="inlineStr">
        <is>
          <t>Group I</t>
        </is>
      </c>
      <c r="B14" s="5" t="inlineStr">
        <is>
          <t>39 — BZUride — university ride-sharing platform</t>
        </is>
      </c>
      <c r="C14" s="4" t="inlineStr">
        <is>
          <t>Group J</t>
        </is>
      </c>
      <c r="D14" s="5" t="inlineStr">
        <is>
          <t>48 — Computer parts shop</t>
        </is>
      </c>
    </row>
    <row r="15" ht="30" customHeight="1">
      <c r="A15" s="4" t="inlineStr">
        <is>
          <t>Group J</t>
        </is>
      </c>
      <c r="B15" s="5" t="inlineStr">
        <is>
          <t>48 — Computer parts shop</t>
        </is>
      </c>
      <c r="C15" s="4" t="inlineStr">
        <is>
          <t>Group K</t>
        </is>
      </c>
      <c r="D15" s="5" t="inlineStr">
        <is>
          <t>47 — Tailoring and alterations shop with measurement records</t>
        </is>
      </c>
    </row>
    <row r="16" ht="30" customHeight="1">
      <c r="A16" s="4" t="inlineStr">
        <is>
          <t>Group K</t>
        </is>
      </c>
      <c r="B16" s="5" t="inlineStr">
        <is>
          <t>47 — Tailoring and alterations shop with measurement records</t>
        </is>
      </c>
      <c r="C16" s="4" t="inlineStr">
        <is>
          <t>Group L</t>
        </is>
      </c>
      <c r="D16" s="5" t="inlineStr">
        <is>
          <t>52 — Donor-centred blood donation network</t>
        </is>
      </c>
    </row>
    <row r="17" ht="30" customHeight="1">
      <c r="A17" s="4" t="inlineStr">
        <is>
          <t>Group L</t>
        </is>
      </c>
      <c r="B17" s="5" t="inlineStr">
        <is>
          <t>52 — Donor-centred blood donation network</t>
        </is>
      </c>
      <c r="C17" s="4" t="inlineStr">
        <is>
          <t>Group M</t>
        </is>
      </c>
      <c r="D17" s="5" t="inlineStr">
        <is>
          <t>50 — Gym membership and class booking</t>
        </is>
      </c>
    </row>
    <row r="18" ht="30" customHeight="1">
      <c r="A18" s="4" t="inlineStr">
        <is>
          <t>Group M</t>
        </is>
      </c>
      <c r="B18" s="5" t="inlineStr">
        <is>
          <t>50 — Gym membership and class booking</t>
        </is>
      </c>
      <c r="C18" s="4" t="inlineStr">
        <is>
          <t>Group N</t>
        </is>
      </c>
      <c r="D18" s="5" t="inlineStr">
        <is>
          <t>51 — Blood donation drive coordination</t>
        </is>
      </c>
    </row>
    <row r="19" ht="30" customHeight="1">
      <c r="A19" s="4" t="inlineStr">
        <is>
          <t>Group N</t>
        </is>
      </c>
      <c r="B19" s="5" t="inlineStr">
        <is>
          <t>51 — Blood donation drive coordination</t>
        </is>
      </c>
      <c r="C19" s="4" t="inlineStr">
        <is>
          <t>Group A</t>
        </is>
      </c>
      <c r="D19" s="5" t="inlineStr">
        <is>
          <t>43 — Online pharmacy</t>
        </is>
      </c>
    </row>
    <row r="22">
      <c r="A22" s="31" t="n"/>
    </row>
    <row r="23" ht="60" customHeight="1">
      <c r="A23" s="21" t="n"/>
    </row>
  </sheetData>
  <mergeCells count="5">
    <mergeCell ref="A1:D1"/>
    <mergeCell ref="A23:D23"/>
    <mergeCell ref="A22:D22"/>
    <mergeCell ref="A3:D3"/>
    <mergeCell ref="A2:D2"/>
  </mergeCells>
  <printOptions horizontalCentered="1"/>
  <pageMargins left="0.4" right="0.4" top="0.5" bottom="0.5" header="0.511811023622047" footer="0.511811023622047"/>
  <pageSetup orientation="landscape" paperSize="9" fitToHeight="0" horizontalDpi="300" verticalDpi="300"/>
</worksheet>
</file>

<file path=xl/worksheets/sheet2.xml><?xml version="1.0" encoding="utf-8"?>
<worksheet xmlns="http://schemas.openxmlformats.org/spreadsheetml/2006/main">
  <sheetPr>
    <outlinePr summaryBelow="1" summaryRight="1"/>
    <pageSetUpPr fitToPage="1"/>
  </sheetPr>
  <dimension ref="A1:U61"/>
  <sheetViews>
    <sheetView tabSelected="1" zoomScaleNormal="100" workbookViewId="0">
      <pane ySplit="6" topLeftCell="A7" activePane="bottomLeft" state="frozen"/>
      <selection pane="bottomLeft" activeCell="A1" sqref="A1"/>
    </sheetView>
  </sheetViews>
  <sheetFormatPr baseColWidth="8" defaultColWidth="8.7109375" defaultRowHeight="15"/>
  <cols>
    <col width="10" customWidth="1" min="1" max="1"/>
    <col width="11" customWidth="1" min="2" max="2"/>
    <col width="16" customWidth="1" min="3" max="3"/>
    <col width="13" customWidth="1" min="4" max="4"/>
    <col width="18" customWidth="1" min="5" max="5"/>
    <col width="11" customWidth="1" min="6" max="6"/>
    <col width="9" customWidth="1" min="7" max="7"/>
    <col width="18" customWidth="1" min="8" max="8"/>
    <col width="11" customWidth="1" min="9" max="9"/>
    <col width="9" customWidth="1" min="10" max="10"/>
    <col width="18" customWidth="1" min="11" max="11"/>
    <col width="11" customWidth="1" min="12" max="12"/>
    <col width="9" customWidth="1" min="13" max="13"/>
    <col width="18" customWidth="1" min="14" max="14"/>
    <col width="11" customWidth="1" min="15" max="15"/>
    <col width="9" customWidth="1" min="16" max="16"/>
    <col width="18" customWidth="1" min="17" max="17"/>
    <col width="11" customWidth="1" min="18" max="18"/>
    <col width="9" customWidth="1" min="19" max="19"/>
    <col width="7" customWidth="1" min="20" max="20"/>
    <col width="30" customWidth="1" min="21" max="21"/>
  </cols>
  <sheetData>
    <row r="1" ht="17.85" customHeight="1">
      <c r="A1" s="19" t="inlineStr">
        <is>
          <t>COMP433 Software Engineering — Project Group Registration</t>
        </is>
      </c>
    </row>
    <row r="2">
      <c r="A2" s="30" t="inlineStr">
        <is>
          <t>Section 5  |  Semester 2 (Spring) 2025/2026  |  Instructor: Dr Hisham Ihshaish</t>
        </is>
      </c>
    </row>
    <row r="3" ht="36" customHeight="1">
      <c r="A3" s="25" t="inlineStr">
        <is>
          <t>Phase 0 is closed. Group compositions and business allocations below are final, except for items flagged in the Notes column. Phase 1 (Business Description, 1 to 2 pages) deadline is Saturday 9 May 2026 (indicative).</t>
        </is>
      </c>
    </row>
    <row r="5" ht="27.75" customHeight="1">
      <c r="A5" s="26" t="inlineStr">
        <is>
          <t>Group</t>
        </is>
      </c>
      <c r="B5" s="26" t="inlineStr">
        <is>
          <t>Allocated Business (no)</t>
        </is>
      </c>
      <c r="C5" s="26" t="inlineStr">
        <is>
          <t>Ranked Preferences (1, 2, 3)</t>
        </is>
      </c>
      <c r="D5" s="26" t="inlineStr">
        <is>
          <t>Management Strategy</t>
        </is>
      </c>
      <c r="E5" s="26" t="inlineStr">
        <is>
          <t>Member 1</t>
        </is>
      </c>
      <c r="F5" s="33" t="n"/>
      <c r="G5" s="34" t="n"/>
      <c r="H5" s="26" t="inlineStr">
        <is>
          <t>Member 2</t>
        </is>
      </c>
      <c r="I5" s="33" t="n"/>
      <c r="J5" s="34" t="n"/>
      <c r="K5" s="26" t="inlineStr">
        <is>
          <t>Member 3</t>
        </is>
      </c>
      <c r="L5" s="33" t="n"/>
      <c r="M5" s="34" t="n"/>
      <c r="N5" s="26" t="inlineStr">
        <is>
          <t>Member 4</t>
        </is>
      </c>
      <c r="O5" s="33" t="n"/>
      <c r="P5" s="34" t="n"/>
      <c r="Q5" s="26" t="inlineStr">
        <is>
          <t>Member 5</t>
        </is>
      </c>
      <c r="R5" s="33" t="n"/>
      <c r="S5" s="34" t="n"/>
      <c r="T5" s="26" t="inlineStr">
        <is>
          <t>Count</t>
        </is>
      </c>
      <c r="U5" s="26" t="inlineStr">
        <is>
          <t>Notes</t>
        </is>
      </c>
    </row>
    <row r="6" ht="18" customHeight="1">
      <c r="A6" s="35" t="n"/>
      <c r="B6" s="35" t="n"/>
      <c r="C6" s="35" t="n"/>
      <c r="D6" s="35" t="n"/>
      <c r="E6" s="7" t="inlineStr">
        <is>
          <t>Name</t>
        </is>
      </c>
      <c r="F6" s="7" t="inlineStr">
        <is>
          <t>Student ID</t>
        </is>
      </c>
      <c r="G6" s="7" t="inlineStr">
        <is>
          <t>Role</t>
        </is>
      </c>
      <c r="H6" s="7" t="inlineStr">
        <is>
          <t>Name</t>
        </is>
      </c>
      <c r="I6" s="7" t="inlineStr">
        <is>
          <t>Student ID</t>
        </is>
      </c>
      <c r="J6" s="7" t="inlineStr">
        <is>
          <t>Role</t>
        </is>
      </c>
      <c r="K6" s="7" t="inlineStr">
        <is>
          <t>Name</t>
        </is>
      </c>
      <c r="L6" s="7" t="inlineStr">
        <is>
          <t>Student ID</t>
        </is>
      </c>
      <c r="M6" s="7" t="inlineStr">
        <is>
          <t>Role</t>
        </is>
      </c>
      <c r="N6" s="7" t="inlineStr">
        <is>
          <t>Name</t>
        </is>
      </c>
      <c r="O6" s="7" t="inlineStr">
        <is>
          <t>Student ID</t>
        </is>
      </c>
      <c r="P6" s="7" t="inlineStr">
        <is>
          <t>Role</t>
        </is>
      </c>
      <c r="Q6" s="7" t="inlineStr">
        <is>
          <t>Name</t>
        </is>
      </c>
      <c r="R6" s="7" t="inlineStr">
        <is>
          <t>Student ID</t>
        </is>
      </c>
      <c r="S6" s="7" t="inlineStr">
        <is>
          <t>Role</t>
        </is>
      </c>
      <c r="T6" s="35" t="n"/>
      <c r="U6" s="35" t="n"/>
    </row>
    <row r="7" ht="36" customHeight="1">
      <c r="A7" s="4" t="inlineStr">
        <is>
          <t>Group A</t>
        </is>
      </c>
      <c r="B7" s="8" t="n">
        <v>43</v>
      </c>
      <c r="C7" s="5" t="inlineStr">
        <is>
          <t>43,48,50</t>
        </is>
      </c>
      <c r="D7" s="5" t="inlineStr">
        <is>
          <t>1,3,5</t>
        </is>
      </c>
      <c r="E7" s="5" t="inlineStr">
        <is>
          <t>Dania Abuayyash</t>
        </is>
      </c>
      <c r="F7" s="5" t="inlineStr">
        <is>
          <t>1210464</t>
        </is>
      </c>
      <c r="G7" s="5" t="inlineStr">
        <is>
          <t>3</t>
        </is>
      </c>
      <c r="H7" s="5" t="inlineStr">
        <is>
          <t>Maysam Abu Eid</t>
        </is>
      </c>
      <c r="I7" s="5" t="inlineStr">
        <is>
          <t>1220675</t>
        </is>
      </c>
      <c r="J7" s="5" t="inlineStr">
        <is>
          <t>4,6</t>
        </is>
      </c>
      <c r="K7" s="5" t="inlineStr">
        <is>
          <t>Qossay Abusondos</t>
        </is>
      </c>
      <c r="L7" s="5" t="inlineStr">
        <is>
          <t>1221082</t>
        </is>
      </c>
      <c r="M7" s="5" t="inlineStr">
        <is>
          <t>1,2</t>
        </is>
      </c>
      <c r="N7" s="5" t="inlineStr">
        <is>
          <t>Yousef Hilal</t>
        </is>
      </c>
      <c r="O7" s="5" t="inlineStr">
        <is>
          <t>1220495</t>
        </is>
      </c>
      <c r="P7" s="5" t="inlineStr">
        <is>
          <t>5</t>
        </is>
      </c>
      <c r="Q7" s="9" t="n"/>
      <c r="R7" s="9" t="n"/>
      <c r="S7" s="9" t="n"/>
      <c r="T7" s="5">
        <f>COUNTA(E7,H7,K7,N7,Q7)</f>
        <v/>
      </c>
      <c r="U7" s="10" t="n"/>
    </row>
    <row r="8" ht="36" customHeight="1">
      <c r="A8" s="4" t="inlineStr">
        <is>
          <t>Group B</t>
        </is>
      </c>
      <c r="B8" s="8" t="n">
        <v>49</v>
      </c>
      <c r="C8" s="5" t="inlineStr">
        <is>
          <t>50,49,48</t>
        </is>
      </c>
      <c r="D8" s="5" t="inlineStr">
        <is>
          <t>1,3,4</t>
        </is>
      </c>
      <c r="E8" s="5" t="inlineStr">
        <is>
          <t>Ayham Abed</t>
        </is>
      </c>
      <c r="F8" s="5" t="inlineStr">
        <is>
          <t>1230221</t>
        </is>
      </c>
      <c r="G8" s="5" t="inlineStr">
        <is>
          <t>4</t>
        </is>
      </c>
      <c r="H8" s="5" t="inlineStr">
        <is>
          <t>Abed Elhafeth Sharabati</t>
        </is>
      </c>
      <c r="I8" s="5" t="inlineStr">
        <is>
          <t>1230845</t>
        </is>
      </c>
      <c r="J8" s="5" t="inlineStr">
        <is>
          <t>1,5</t>
        </is>
      </c>
      <c r="K8" s="5" t="inlineStr">
        <is>
          <t>Fadi Ziadeh</t>
        </is>
      </c>
      <c r="L8" s="5" t="inlineStr">
        <is>
          <t>1232120</t>
        </is>
      </c>
      <c r="M8" s="5" t="inlineStr">
        <is>
          <t>2,6</t>
        </is>
      </c>
      <c r="N8" s="5" t="inlineStr">
        <is>
          <t>Shahd Shreteh</t>
        </is>
      </c>
      <c r="O8" s="5" t="inlineStr">
        <is>
          <t>1210444</t>
        </is>
      </c>
      <c r="P8" s="5" t="inlineStr">
        <is>
          <t>3</t>
        </is>
      </c>
      <c r="Q8" s="9" t="n"/>
      <c r="R8" s="9" t="n"/>
      <c r="S8" s="9" t="n"/>
      <c r="T8" s="5">
        <f>COUNTA(E8,H8,K8,N8,Q8)</f>
        <v/>
      </c>
      <c r="U8" s="10" t="inlineStr">
        <is>
          <t>Shahd Shreteh joined; group is now 4 members.</t>
        </is>
      </c>
    </row>
    <row r="9" ht="36" customHeight="1">
      <c r="A9" s="4" t="inlineStr">
        <is>
          <t>Group C</t>
        </is>
      </c>
      <c r="B9" s="8" t="n">
        <v>44</v>
      </c>
      <c r="C9" s="5" t="inlineStr">
        <is>
          <t>48, 44, 49</t>
        </is>
      </c>
      <c r="D9" s="5" t="inlineStr">
        <is>
          <t>1, 4, 5</t>
        </is>
      </c>
      <c r="E9" s="5" t="inlineStr">
        <is>
          <t>Mohammad Abu Arqub</t>
        </is>
      </c>
      <c r="F9" s="5" t="inlineStr">
        <is>
          <t>1211312</t>
        </is>
      </c>
      <c r="G9" s="5" t="inlineStr">
        <is>
          <t>2</t>
        </is>
      </c>
      <c r="H9" s="5" t="inlineStr">
        <is>
          <t>Mohammad Bazzar</t>
        </is>
      </c>
      <c r="I9" s="5" t="inlineStr">
        <is>
          <t>1222028</t>
        </is>
      </c>
      <c r="J9" s="5" t="inlineStr">
        <is>
          <t>1,6</t>
        </is>
      </c>
      <c r="K9" s="5" t="inlineStr">
        <is>
          <t>Abdallah Hasan</t>
        </is>
      </c>
      <c r="L9" s="5" t="inlineStr">
        <is>
          <t>1230462</t>
        </is>
      </c>
      <c r="M9" s="5" t="inlineStr">
        <is>
          <t>3</t>
        </is>
      </c>
      <c r="N9" s="5" t="inlineStr">
        <is>
          <t>Khader Isa</t>
        </is>
      </c>
      <c r="O9" s="5" t="inlineStr">
        <is>
          <t>1201781</t>
        </is>
      </c>
      <c r="P9" s="5" t="inlineStr">
        <is>
          <t>4,5</t>
        </is>
      </c>
      <c r="Q9" s="9" t="n"/>
      <c r="R9" s="9" t="n"/>
      <c r="S9" s="9" t="n"/>
      <c r="T9" s="5">
        <f>COUNTA(E9,H9,K9,N9,Q9)</f>
        <v/>
      </c>
      <c r="U9" s="10" t="n"/>
    </row>
    <row r="10" ht="36" customHeight="1">
      <c r="A10" s="4" t="inlineStr">
        <is>
          <t>Group D</t>
        </is>
      </c>
      <c r="B10" s="8" t="n">
        <v>46</v>
      </c>
      <c r="C10" s="5" t="inlineStr">
        <is>
          <t>50,46,43</t>
        </is>
      </c>
      <c r="D10" s="5" t="inlineStr">
        <is>
          <t>1,4,5</t>
        </is>
      </c>
      <c r="E10" s="5" t="inlineStr">
        <is>
          <t>Zaki Meslih</t>
        </is>
      </c>
      <c r="F10" s="5" t="inlineStr">
        <is>
          <t>1230149</t>
        </is>
      </c>
      <c r="G10" s="5" t="inlineStr">
        <is>
          <t>1</t>
        </is>
      </c>
      <c r="H10" s="5" t="inlineStr">
        <is>
          <t>Ruba Nabhan</t>
        </is>
      </c>
      <c r="I10" s="5" t="inlineStr">
        <is>
          <t>1230200</t>
        </is>
      </c>
      <c r="J10" s="5" t="inlineStr">
        <is>
          <t>5,6</t>
        </is>
      </c>
      <c r="K10" s="5" t="inlineStr">
        <is>
          <t>Miral Shafee</t>
        </is>
      </c>
      <c r="L10" s="5" t="inlineStr">
        <is>
          <t>1230297</t>
        </is>
      </c>
      <c r="M10" s="5" t="inlineStr">
        <is>
          <t>3</t>
        </is>
      </c>
      <c r="N10" s="5" t="inlineStr">
        <is>
          <t>Bashar Ziada</t>
        </is>
      </c>
      <c r="O10" s="5" t="inlineStr">
        <is>
          <t>1231635</t>
        </is>
      </c>
      <c r="P10" s="5" t="inlineStr">
        <is>
          <t>2,4</t>
        </is>
      </c>
      <c r="Q10" s="9" t="n"/>
      <c r="R10" s="9" t="n"/>
      <c r="S10" s="9" t="n"/>
      <c r="T10" s="5">
        <f>COUNTA(E10,H10,K10,N10,Q10)</f>
        <v/>
      </c>
      <c r="U10" s="10" t="n"/>
    </row>
    <row r="11" ht="36" customHeight="1">
      <c r="A11" s="4" t="inlineStr">
        <is>
          <t>Group E</t>
        </is>
      </c>
      <c r="B11" s="8" t="n">
        <v>38</v>
      </c>
      <c r="C11" s="5" t="inlineStr">
        <is>
          <t>43,50,49</t>
        </is>
      </c>
      <c r="D11" s="5" t="inlineStr">
        <is>
          <t>1,4,5</t>
        </is>
      </c>
      <c r="E11" s="5" t="inlineStr">
        <is>
          <t>Rani Alam</t>
        </is>
      </c>
      <c r="F11" s="5" t="inlineStr">
        <is>
          <t>1221136</t>
        </is>
      </c>
      <c r="G11" s="5" t="inlineStr">
        <is>
          <t>1,2</t>
        </is>
      </c>
      <c r="H11" s="5" t="inlineStr">
        <is>
          <t>Ahmed Daghara</t>
        </is>
      </c>
      <c r="I11" s="5" t="inlineStr">
        <is>
          <t>1230188</t>
        </is>
      </c>
      <c r="J11" s="5" t="inlineStr">
        <is>
          <t>4</t>
        </is>
      </c>
      <c r="K11" s="5" t="inlineStr">
        <is>
          <t>Yazan Jitan</t>
        </is>
      </c>
      <c r="L11" s="5" t="inlineStr">
        <is>
          <t>1230054</t>
        </is>
      </c>
      <c r="M11" s="5" t="inlineStr">
        <is>
          <t>3,6</t>
        </is>
      </c>
      <c r="N11" s="5" t="inlineStr">
        <is>
          <t>Member 4 — please confirm</t>
        </is>
      </c>
      <c r="O11" s="5" t="inlineStr">
        <is>
          <t>1220893</t>
        </is>
      </c>
      <c r="P11" s="5" t="inlineStr">
        <is>
          <t>4</t>
        </is>
      </c>
      <c r="Q11" s="9" t="n"/>
      <c r="R11" s="9" t="n"/>
      <c r="S11" s="9" t="n"/>
      <c r="T11" s="5">
        <f>COUNTA(E11,H11,K11,N11,Q11)</f>
        <v/>
      </c>
      <c r="U11" s="10" t="inlineStr">
        <is>
          <t>Member 4 (ID 1220893): name to be confirmed by instructor.</t>
        </is>
      </c>
    </row>
    <row r="12" ht="36" customHeight="1">
      <c r="A12" s="4" t="inlineStr">
        <is>
          <t>Group F</t>
        </is>
      </c>
      <c r="B12" s="8" t="n">
        <v>45</v>
      </c>
      <c r="C12" s="5" t="inlineStr">
        <is>
          <t>50,44,45</t>
        </is>
      </c>
      <c r="D12" s="5" t="inlineStr">
        <is>
          <t>4,1,5</t>
        </is>
      </c>
      <c r="E12" s="5" t="inlineStr">
        <is>
          <t>Jana Abdelmajeed</t>
        </is>
      </c>
      <c r="F12" s="5" t="inlineStr">
        <is>
          <t>1230593</t>
        </is>
      </c>
      <c r="G12" s="5" t="inlineStr">
        <is>
          <t>3,5</t>
        </is>
      </c>
      <c r="H12" s="5" t="inlineStr">
        <is>
          <t>Lama Bayatneh</t>
        </is>
      </c>
      <c r="I12" s="5" t="inlineStr">
        <is>
          <t>1230374</t>
        </is>
      </c>
      <c r="J12" s="5" t="inlineStr">
        <is>
          <t>6,5</t>
        </is>
      </c>
      <c r="K12" s="5" t="inlineStr">
        <is>
          <t>Shahd Dar Assi</t>
        </is>
      </c>
      <c r="L12" s="5" t="inlineStr">
        <is>
          <t>1230652</t>
        </is>
      </c>
      <c r="M12" s="5" t="inlineStr">
        <is>
          <t>4,5</t>
        </is>
      </c>
      <c r="N12" s="5" t="inlineStr">
        <is>
          <t>Baraa Darraj</t>
        </is>
      </c>
      <c r="O12" s="5" t="inlineStr">
        <is>
          <t>1230667</t>
        </is>
      </c>
      <c r="P12" s="5" t="inlineStr">
        <is>
          <t>1,2,5</t>
        </is>
      </c>
      <c r="Q12" s="9" t="n"/>
      <c r="R12" s="9" t="n"/>
      <c r="S12" s="9" t="n"/>
      <c r="T12" s="5">
        <f>COUNTA(E12,H12,K12,N12,Q12)</f>
        <v/>
      </c>
      <c r="U12" s="10" t="n"/>
    </row>
    <row r="13" ht="36" customHeight="1">
      <c r="A13" s="4" t="inlineStr">
        <is>
          <t>Group G</t>
        </is>
      </c>
      <c r="B13" s="8" t="n">
        <v>42</v>
      </c>
      <c r="C13" s="5" t="inlineStr">
        <is>
          <t>49, 42, 46</t>
        </is>
      </c>
      <c r="D13" s="5" t="inlineStr">
        <is>
          <t>1, 4, 5</t>
        </is>
      </c>
      <c r="E13" s="5" t="inlineStr">
        <is>
          <t>Hashem Ahmad</t>
        </is>
      </c>
      <c r="F13" s="5" t="inlineStr">
        <is>
          <t>1220948</t>
        </is>
      </c>
      <c r="G13" s="5" t="inlineStr">
        <is>
          <t>5,6</t>
        </is>
      </c>
      <c r="H13" s="5" t="inlineStr">
        <is>
          <t>Fayzeh Elzogheir</t>
        </is>
      </c>
      <c r="I13" s="5" t="inlineStr">
        <is>
          <t>1221160</t>
        </is>
      </c>
      <c r="J13" s="5" t="inlineStr">
        <is>
          <t>1</t>
        </is>
      </c>
      <c r="K13" s="5" t="inlineStr">
        <is>
          <t>Maria Massad</t>
        </is>
      </c>
      <c r="L13" s="5" t="inlineStr">
        <is>
          <t>1221492</t>
        </is>
      </c>
      <c r="M13" s="5" t="inlineStr">
        <is>
          <t>4</t>
        </is>
      </c>
      <c r="N13" s="5" t="inlineStr">
        <is>
          <t>Masa Qadamani</t>
        </is>
      </c>
      <c r="O13" s="5" t="inlineStr">
        <is>
          <t>1220196</t>
        </is>
      </c>
      <c r="P13" s="5" t="inlineStr">
        <is>
          <t>3</t>
        </is>
      </c>
      <c r="Q13" s="5" t="inlineStr">
        <is>
          <t>Noureddin Etkaidek</t>
        </is>
      </c>
      <c r="R13" s="5" t="inlineStr">
        <is>
          <t>1220162</t>
        </is>
      </c>
      <c r="S13" s="5" t="inlineStr">
        <is>
          <t>2</t>
        </is>
      </c>
      <c r="T13" s="5">
        <f>COUNTA(E13,H13,K13,N13,Q13)</f>
        <v/>
      </c>
      <c r="U13" s="10" t="inlineStr">
        <is>
          <t>Noureddin Etkaidek confirmed in Section 5.</t>
        </is>
      </c>
    </row>
    <row r="14" ht="36" customHeight="1">
      <c r="A14" s="4" t="inlineStr">
        <is>
          <t>Group H</t>
        </is>
      </c>
      <c r="B14" s="8" t="n">
        <v>41</v>
      </c>
      <c r="C14" s="5" t="inlineStr">
        <is>
          <t>41,44,50</t>
        </is>
      </c>
      <c r="D14" s="5" t="inlineStr">
        <is>
          <t>2,3,4</t>
        </is>
      </c>
      <c r="E14" s="5" t="inlineStr">
        <is>
          <t>Ansar Mansour</t>
        </is>
      </c>
      <c r="F14" s="5" t="inlineStr">
        <is>
          <t>1220679</t>
        </is>
      </c>
      <c r="G14" s="5" t="inlineStr">
        <is>
          <t>2,5</t>
        </is>
      </c>
      <c r="H14" s="5" t="inlineStr">
        <is>
          <t>Ayah Sarama</t>
        </is>
      </c>
      <c r="I14" s="5" t="inlineStr">
        <is>
          <t>1221615</t>
        </is>
      </c>
      <c r="J14" s="5" t="inlineStr">
        <is>
          <t>4</t>
        </is>
      </c>
      <c r="K14" s="5" t="inlineStr">
        <is>
          <t>Ayat Sulaiman</t>
        </is>
      </c>
      <c r="L14" s="5" t="inlineStr">
        <is>
          <t>1231128</t>
        </is>
      </c>
      <c r="M14" s="5" t="inlineStr">
        <is>
          <t>1,3</t>
        </is>
      </c>
      <c r="N14" s="5" t="inlineStr">
        <is>
          <t>Hala Zedat</t>
        </is>
      </c>
      <c r="O14" s="5" t="inlineStr">
        <is>
          <t>1230294</t>
        </is>
      </c>
      <c r="P14" s="5" t="inlineStr">
        <is>
          <t>6</t>
        </is>
      </c>
      <c r="Q14" s="9" t="n"/>
      <c r="R14" s="9" t="n"/>
      <c r="S14" s="9" t="n"/>
      <c r="T14" s="5">
        <f>COUNTA(E14,H14,K14,N14,Q14)</f>
        <v/>
      </c>
      <c r="U14" s="10" t="n"/>
    </row>
    <row r="15" ht="36" customHeight="1">
      <c r="A15" s="4" t="inlineStr">
        <is>
          <t>Group I</t>
        </is>
      </c>
      <c r="B15" s="8" t="n">
        <v>39</v>
      </c>
      <c r="C15" s="5" t="inlineStr">
        <is>
          <t>39 (BZUride)</t>
        </is>
      </c>
      <c r="D15" s="5" t="inlineStr">
        <is>
          <t>1,3,5</t>
        </is>
      </c>
      <c r="E15" s="5" t="inlineStr">
        <is>
          <t>Ramzi Abu Falah</t>
        </is>
      </c>
      <c r="F15" s="5" t="inlineStr">
        <is>
          <t>1230594</t>
        </is>
      </c>
      <c r="G15" s="5" t="inlineStr">
        <is>
          <t>5,6</t>
        </is>
      </c>
      <c r="H15" s="5" t="inlineStr">
        <is>
          <t>Yousef Barghuthy</t>
        </is>
      </c>
      <c r="I15" s="5" t="inlineStr">
        <is>
          <t>1231471</t>
        </is>
      </c>
      <c r="J15" s="5" t="inlineStr">
        <is>
          <t>3,4</t>
        </is>
      </c>
      <c r="K15" s="5" t="inlineStr">
        <is>
          <t>Ayham Rimawi</t>
        </is>
      </c>
      <c r="L15" s="5" t="inlineStr">
        <is>
          <t>1220746</t>
        </is>
      </c>
      <c r="M15" s="5" t="inlineStr">
        <is>
          <t>1</t>
        </is>
      </c>
      <c r="N15" s="5" t="inlineStr">
        <is>
          <t>Khaled Hamayil</t>
        </is>
      </c>
      <c r="O15" s="5" t="inlineStr">
        <is>
          <t>1231439</t>
        </is>
      </c>
      <c r="P15" s="5" t="inlineStr">
        <is>
          <t>2</t>
        </is>
      </c>
      <c r="Q15" s="9" t="n"/>
      <c r="R15" s="9" t="n"/>
      <c r="S15" s="9" t="n"/>
      <c r="T15" s="5">
        <f>COUNTA(E15,H15,K15,N15,Q15)</f>
        <v/>
      </c>
      <c r="U15" s="10" t="inlineStr">
        <is>
          <t>Business 39 (BZUride) is Group I's approved custom proposal.</t>
        </is>
      </c>
    </row>
    <row r="16" ht="36" customHeight="1">
      <c r="A16" s="4" t="inlineStr">
        <is>
          <t>Group J</t>
        </is>
      </c>
      <c r="B16" s="8" t="n">
        <v>48</v>
      </c>
      <c r="C16" s="5" t="inlineStr">
        <is>
          <t>43,48,50</t>
        </is>
      </c>
      <c r="D16" s="5" t="inlineStr">
        <is>
          <t>1,4,5</t>
        </is>
      </c>
      <c r="E16" s="5" t="inlineStr">
        <is>
          <t>Rajae Musallam</t>
        </is>
      </c>
      <c r="F16" s="5" t="inlineStr">
        <is>
          <t>1230426</t>
        </is>
      </c>
      <c r="G16" s="5" t="inlineStr">
        <is>
          <t>4</t>
        </is>
      </c>
      <c r="H16" s="5" t="inlineStr">
        <is>
          <t>Huthaifah Omar</t>
        </is>
      </c>
      <c r="I16" s="5" t="inlineStr">
        <is>
          <t>1230570</t>
        </is>
      </c>
      <c r="J16" s="5" t="inlineStr">
        <is>
          <t>5,6</t>
        </is>
      </c>
      <c r="K16" s="5" t="inlineStr">
        <is>
          <t>Rogeh Qawas</t>
        </is>
      </c>
      <c r="L16" s="5" t="inlineStr">
        <is>
          <t>1232201</t>
        </is>
      </c>
      <c r="M16" s="5" t="inlineStr">
        <is>
          <t>1</t>
        </is>
      </c>
      <c r="N16" s="5" t="inlineStr">
        <is>
          <t>Mohammed Salem</t>
        </is>
      </c>
      <c r="O16" s="5" t="inlineStr">
        <is>
          <t>1203022</t>
        </is>
      </c>
      <c r="P16" s="5" t="inlineStr">
        <is>
          <t>3</t>
        </is>
      </c>
      <c r="Q16" s="9" t="n"/>
      <c r="R16" s="9" t="n"/>
      <c r="S16" s="9" t="n"/>
      <c r="T16" s="5">
        <f>COUNTA(E16,H16,K16,N16,Q16)</f>
        <v/>
      </c>
      <c r="U16" s="10" t="n"/>
    </row>
    <row r="17" ht="36" customHeight="1">
      <c r="A17" s="4" t="inlineStr">
        <is>
          <t>Group K</t>
        </is>
      </c>
      <c r="B17" s="8" t="n">
        <v>47</v>
      </c>
      <c r="C17" s="5" t="inlineStr">
        <is>
          <t>50,44,47</t>
        </is>
      </c>
      <c r="D17" s="5" t="inlineStr">
        <is>
          <t>1,4,5</t>
        </is>
      </c>
      <c r="E17" s="5" t="inlineStr">
        <is>
          <t>Aya Abdullah</t>
        </is>
      </c>
      <c r="F17" s="5" t="inlineStr">
        <is>
          <t>1220782</t>
        </is>
      </c>
      <c r="G17" s="5" t="inlineStr">
        <is>
          <t>4</t>
        </is>
      </c>
      <c r="H17" s="5" t="inlineStr">
        <is>
          <t>Lana Daramna</t>
        </is>
      </c>
      <c r="I17" s="5" t="inlineStr">
        <is>
          <t>1220588</t>
        </is>
      </c>
      <c r="J17" s="5" t="inlineStr">
        <is>
          <t>1</t>
        </is>
      </c>
      <c r="K17" s="5" t="inlineStr">
        <is>
          <t>Sadeel Fashafsha</t>
        </is>
      </c>
      <c r="L17" s="5" t="inlineStr">
        <is>
          <t>1230941</t>
        </is>
      </c>
      <c r="M17" s="5" t="inlineStr">
        <is>
          <t>2</t>
        </is>
      </c>
      <c r="N17" s="5" t="inlineStr">
        <is>
          <t>Sereen Karakra</t>
        </is>
      </c>
      <c r="O17" s="5" t="inlineStr">
        <is>
          <t>1222377</t>
        </is>
      </c>
      <c r="P17" s="5" t="inlineStr">
        <is>
          <t>3</t>
        </is>
      </c>
      <c r="Q17" s="9" t="n"/>
      <c r="R17" s="9" t="n"/>
      <c r="S17" s="9" t="n"/>
      <c r="T17" s="5">
        <f>COUNTA(E17,H17,K17,N17,Q17)</f>
        <v/>
      </c>
      <c r="U17" s="10" t="n"/>
    </row>
    <row r="18" ht="36" customHeight="1">
      <c r="A18" s="4" t="inlineStr">
        <is>
          <t>Group L</t>
        </is>
      </c>
      <c r="B18" s="8" t="n">
        <v>52</v>
      </c>
      <c r="C18" s="5" t="inlineStr">
        <is>
          <t>51, 50, 40</t>
        </is>
      </c>
      <c r="D18" s="5" t="inlineStr">
        <is>
          <t>1, 4, 5</t>
        </is>
      </c>
      <c r="E18" s="5" t="inlineStr">
        <is>
          <t>Julnar Assi</t>
        </is>
      </c>
      <c r="F18" s="5" t="inlineStr">
        <is>
          <t>1221669</t>
        </is>
      </c>
      <c r="G18" s="5" t="inlineStr">
        <is>
          <t>6</t>
        </is>
      </c>
      <c r="H18" s="5" t="inlineStr">
        <is>
          <t>Warda Bairat</t>
        </is>
      </c>
      <c r="I18" s="5" t="inlineStr">
        <is>
          <t>1221248</t>
        </is>
      </c>
      <c r="J18" s="5" t="inlineStr">
        <is>
          <t>2, 4</t>
        </is>
      </c>
      <c r="K18" s="5" t="inlineStr">
        <is>
          <t>Mawada Baragthi</t>
        </is>
      </c>
      <c r="L18" s="5" t="inlineStr">
        <is>
          <t>1221044</t>
        </is>
      </c>
      <c r="M18" s="5" t="inlineStr">
        <is>
          <t>3</t>
        </is>
      </c>
      <c r="N18" s="5" t="inlineStr">
        <is>
          <t>Rua Sroor</t>
        </is>
      </c>
      <c r="O18" s="5" t="inlineStr">
        <is>
          <t>1221727</t>
        </is>
      </c>
      <c r="P18" s="5" t="inlineStr">
        <is>
          <t>1, 5</t>
        </is>
      </c>
      <c r="Q18" s="9" t="n"/>
      <c r="R18" s="9" t="n"/>
      <c r="S18" s="9" t="n"/>
      <c r="T18" s="5">
        <f>COUNTA(E18,H18,K18,N18,Q18)</f>
        <v/>
      </c>
      <c r="U18" s="10" t="n"/>
    </row>
    <row r="19" ht="36" customHeight="1">
      <c r="A19" s="4" t="inlineStr">
        <is>
          <t>Group M</t>
        </is>
      </c>
      <c r="B19" s="8" t="n">
        <v>50</v>
      </c>
      <c r="C19" s="5" t="inlineStr">
        <is>
          <t>48, 50, 45</t>
        </is>
      </c>
      <c r="D19" s="5" t="inlineStr">
        <is>
          <t>1,4,5</t>
        </is>
      </c>
      <c r="E19" s="5" t="inlineStr">
        <is>
          <t>Amin Abu Hwaij</t>
        </is>
      </c>
      <c r="F19" s="5" t="inlineStr">
        <is>
          <t>1231277</t>
        </is>
      </c>
      <c r="G19" s="5" t="inlineStr">
        <is>
          <t>5</t>
        </is>
      </c>
      <c r="H19" s="5" t="inlineStr">
        <is>
          <t>Mohammed Hamayel</t>
        </is>
      </c>
      <c r="I19" s="5" t="inlineStr">
        <is>
          <t>1221572</t>
        </is>
      </c>
      <c r="J19" s="5" t="inlineStr">
        <is>
          <t>4</t>
        </is>
      </c>
      <c r="K19" s="5" t="inlineStr">
        <is>
          <t>Ziad Ikhraiwesh</t>
        </is>
      </c>
      <c r="L19" s="5" t="inlineStr">
        <is>
          <t>1222671</t>
        </is>
      </c>
      <c r="M19" s="5" t="inlineStr">
        <is>
          <t>6</t>
        </is>
      </c>
      <c r="N19" s="5" t="inlineStr">
        <is>
          <t>Yamen Kharoub</t>
        </is>
      </c>
      <c r="O19" s="5" t="inlineStr">
        <is>
          <t>1220432</t>
        </is>
      </c>
      <c r="P19" s="5" t="inlineStr">
        <is>
          <t>2,3</t>
        </is>
      </c>
      <c r="Q19" s="5" t="inlineStr">
        <is>
          <t>Mohammed Yasin</t>
        </is>
      </c>
      <c r="R19" s="5" t="inlineStr">
        <is>
          <t>1220911</t>
        </is>
      </c>
      <c r="S19" s="5" t="inlineStr">
        <is>
          <t>1</t>
        </is>
      </c>
      <c r="T19" s="5">
        <f>COUNTA(E19,H19,K19,N19,Q19)</f>
        <v/>
      </c>
      <c r="U19" s="10" t="n"/>
    </row>
    <row r="20" ht="36" customHeight="1">
      <c r="A20" s="4" t="inlineStr">
        <is>
          <t>Group N</t>
        </is>
      </c>
      <c r="B20" s="8" t="n">
        <v>51</v>
      </c>
      <c r="C20" s="5" t="inlineStr">
        <is>
          <t>50,51,45</t>
        </is>
      </c>
      <c r="D20" s="5" t="inlineStr">
        <is>
          <t>2,4,5</t>
        </is>
      </c>
      <c r="E20" s="5" t="inlineStr">
        <is>
          <t>Rand Awadallah</t>
        </is>
      </c>
      <c r="F20" s="5" t="inlineStr">
        <is>
          <t>1211963</t>
        </is>
      </c>
      <c r="G20" s="5" t="inlineStr">
        <is>
          <t>2,4</t>
        </is>
      </c>
      <c r="H20" s="5" t="inlineStr">
        <is>
          <t>Baraa Elzogheir</t>
        </is>
      </c>
      <c r="I20" s="5" t="inlineStr">
        <is>
          <t>1231102</t>
        </is>
      </c>
      <c r="J20" s="5" t="inlineStr">
        <is>
          <t>1</t>
        </is>
      </c>
      <c r="K20" s="5" t="inlineStr">
        <is>
          <t>Fatima Alzahra Mustafa</t>
        </is>
      </c>
      <c r="L20" s="5" t="inlineStr">
        <is>
          <t>1220259</t>
        </is>
      </c>
      <c r="M20" s="5" t="inlineStr">
        <is>
          <t>5,6</t>
        </is>
      </c>
      <c r="N20" s="5" t="inlineStr">
        <is>
          <t>Sara Zaid</t>
        </is>
      </c>
      <c r="O20" s="5" t="inlineStr">
        <is>
          <t>1232127</t>
        </is>
      </c>
      <c r="P20" s="5" t="inlineStr">
        <is>
          <t>3</t>
        </is>
      </c>
      <c r="Q20" s="9" t="n"/>
      <c r="R20" s="9" t="n"/>
      <c r="S20" s="9" t="n"/>
      <c r="T20" s="5">
        <f>COUNTA(E20,H20,K20,N20,Q20)</f>
        <v/>
      </c>
      <c r="U20" s="10" t="inlineStr">
        <is>
          <t>Allocated business 51 (Blood donation drive coordination).</t>
        </is>
      </c>
    </row>
    <row r="22">
      <c r="A22" s="11" t="inlineStr">
        <is>
          <t>Total students</t>
        </is>
      </c>
      <c r="E22" s="12">
        <f>COUNTA(E7:E20)</f>
        <v/>
      </c>
      <c r="H22" s="12">
        <f>COUNTA(H7:H20)</f>
        <v/>
      </c>
      <c r="K22" s="12">
        <f>COUNTA(K7:K20)</f>
        <v/>
      </c>
      <c r="N22" s="12">
        <f>COUNTA(N7:N20)</f>
        <v/>
      </c>
      <c r="Q22" s="12">
        <f>COUNTA(Q7:Q20)</f>
        <v/>
      </c>
      <c r="T22" s="12">
        <f>SUM(T7:T20)</f>
        <v/>
      </c>
    </row>
    <row r="25">
      <c r="A25" s="31" t="inlineStr">
        <is>
          <t>Reference: Management Strategy (each group selects ONE option from each pair)</t>
        </is>
      </c>
    </row>
    <row r="26" ht="23.85" customHeight="1">
      <c r="A26" s="12" t="n">
        <v>1</v>
      </c>
      <c r="B26" s="20" t="inlineStr">
        <is>
          <t>Meet once a week</t>
        </is>
      </c>
    </row>
    <row r="27" ht="23.85" customHeight="1">
      <c r="A27" s="12" t="n">
        <v>2</v>
      </c>
      <c r="B27" s="20" t="inlineStr">
        <is>
          <t>Meet twice a week</t>
        </is>
      </c>
    </row>
    <row r="28" ht="23.85" customHeight="1">
      <c r="A28" s="12" t="n">
        <v>3</v>
      </c>
      <c r="B28" s="20" t="inlineStr">
        <is>
          <t>Meet face-to-face</t>
        </is>
      </c>
    </row>
    <row r="29">
      <c r="A29" s="12" t="n">
        <v>4</v>
      </c>
      <c r="B29" s="20" t="inlineStr">
        <is>
          <t>Meet online</t>
        </is>
      </c>
    </row>
    <row r="30" ht="35.1" customHeight="1">
      <c r="A30" s="12" t="n">
        <v>5</v>
      </c>
      <c r="B30" s="20" t="inlineStr">
        <is>
          <t>Decisions taken by voting</t>
        </is>
      </c>
    </row>
    <row r="31" ht="46.35" customHeight="1">
      <c r="A31" s="12" t="n">
        <v>6</v>
      </c>
      <c r="B31" s="20" t="inlineStr">
        <is>
          <t>Decisions taken by Project Manager</t>
        </is>
      </c>
    </row>
    <row r="34">
      <c r="A34" s="31" t="inlineStr">
        <is>
          <t>Reference: Team Roles (each member selects ONE role; some roles may be combined if team size is 4)</t>
        </is>
      </c>
    </row>
    <row r="35" ht="30" customHeight="1">
      <c r="A35" s="12" t="n">
        <v>1</v>
      </c>
      <c r="B35" s="22" t="inlineStr">
        <is>
          <t>Project Manager</t>
        </is>
      </c>
      <c r="C35" s="20" t="inlineStr">
        <is>
          <t>Manages the project, allocates tasks to members, schedules and follows up on meetings, and undertakes technical tasks alongside the team.</t>
        </is>
      </c>
    </row>
    <row r="36" ht="30" customHeight="1">
      <c r="A36" s="12" t="n">
        <v>2</v>
      </c>
      <c r="B36" s="22" t="inlineStr">
        <is>
          <t>Secretary</t>
        </is>
      </c>
      <c r="C36" s="20" t="inlineStr">
        <is>
          <t>Helps organise team meetings with the Project Manager, takes meeting minutes, records decisions, and follows up on allocated tasks.</t>
        </is>
      </c>
    </row>
    <row r="37" ht="30" customHeight="1">
      <c r="A37" s="12" t="n">
        <v>3</v>
      </c>
      <c r="B37" s="22" t="inlineStr">
        <is>
          <t>Requirements Engineer (Product Owner)</t>
        </is>
      </c>
      <c r="C37" s="20" t="inlineStr">
        <is>
          <t>Leads requirements elicitation and analysis with input from other members.</t>
        </is>
      </c>
    </row>
    <row r="38" ht="30" customHeight="1">
      <c r="A38" s="12" t="n">
        <v>4</v>
      </c>
      <c r="B38" s="22" t="inlineStr">
        <is>
          <t>Technical Architect</t>
        </is>
      </c>
      <c r="C38" s="20" t="inlineStr">
        <is>
          <t>Leads system architecture and design decisions with input from other members.</t>
        </is>
      </c>
    </row>
    <row r="39" ht="30" customHeight="1">
      <c r="A39" s="12" t="n">
        <v>5</v>
      </c>
      <c r="B39" s="22" t="inlineStr">
        <is>
          <t>Programmer</t>
        </is>
      </c>
      <c r="C39" s="20" t="inlineStr">
        <is>
          <t>Leads code writing and integration with input from other members.</t>
        </is>
      </c>
    </row>
    <row r="40" ht="30" customHeight="1">
      <c r="A40" s="12" t="n">
        <v>6</v>
      </c>
      <c r="B40" s="22" t="inlineStr">
        <is>
          <t>QA / Software Tester</t>
        </is>
      </c>
      <c r="C40" s="20" t="inlineStr">
        <is>
          <t>Leads quality assurance and testing activities with input from other members.</t>
        </is>
      </c>
    </row>
    <row r="43">
      <c r="A43" s="31" t="inlineStr">
        <is>
          <t>Business List — Section 5 (catalogue from which each group selected 3 ranked preferences)</t>
        </is>
      </c>
    </row>
    <row r="44" ht="21.75" customHeight="1">
      <c r="A44" s="13" t="inlineStr">
        <is>
          <t>No</t>
        </is>
      </c>
      <c r="B44" s="24" t="inlineStr">
        <is>
          <t>Business Name</t>
        </is>
      </c>
      <c r="F44" s="24" t="inlineStr">
        <is>
          <t>Brief description</t>
        </is>
      </c>
    </row>
    <row r="45" ht="60" customHeight="1">
      <c r="A45" s="12" t="n">
        <v>38</v>
      </c>
      <c r="B45" s="22" t="inlineStr">
        <is>
          <t>Personal training studio with health screening and progress tracking</t>
        </is>
      </c>
      <c r="F45" s="20" t="inlineStr">
        <is>
          <t>to enable members to register, complete detailed health screening (injuries, conditions, medications), be matched one to one with a trainer, follow custom workout programmes, log session by session progress with measurable indicators, and pay per session block.</t>
        </is>
      </c>
    </row>
    <row r="46" ht="60" customHeight="1">
      <c r="A46" s="12" t="n">
        <v>39</v>
      </c>
      <c r="B46" s="22" t="inlineStr">
        <is>
          <t>BZUride — university ride-sharing platform</t>
        </is>
      </c>
      <c r="F46" s="20" t="inlineStr">
        <is>
          <t>to enable university students to register and verify their identity using university credentials, post and search for rides, book seats, check ride details (time, location, availability), communicate with other users, receive real-time notifications, and use rating, review and reporting features to ensure safety, trust and secure ride coordination.</t>
        </is>
      </c>
    </row>
    <row r="47" ht="60" customHeight="1">
      <c r="A47" s="12" t="n">
        <v>40</v>
      </c>
      <c r="B47" s="22" t="inlineStr">
        <is>
          <t>Optician shop</t>
        </is>
      </c>
      <c r="F47" s="20" t="inlineStr">
        <is>
          <t>to enable customers to book eye tests, browse and order prescription eyewear (frames and lenses), manage prescription records, and arrange home delivery from a chain of three branches.</t>
        </is>
      </c>
    </row>
    <row r="48" ht="60" customHeight="1">
      <c r="A48" s="12" t="n">
        <v>41</v>
      </c>
      <c r="B48" s="22" t="inlineStr">
        <is>
          <t>Driving school registration</t>
        </is>
      </c>
      <c r="F48" s="20" t="inlineStr">
        <is>
          <t>to enable learners to register, book theory and practical lessons with available instructors, track lesson progress, manage instructor scheduling with credential verification, and pay course fees online.</t>
        </is>
      </c>
    </row>
    <row r="49" ht="60" customHeight="1">
      <c r="A49" s="12" t="n">
        <v>42</v>
      </c>
      <c r="B49" s="22" t="inlineStr">
        <is>
          <t>Mobile phone repair shop with device handover tracking</t>
        </is>
      </c>
      <c r="F49" s="20" t="inlineStr">
        <is>
          <t>to enable customers to book repair appointments, describe device issues, choose between in-store and pickup-and-return service, verify identity at handover, and track device chain-of-custody given that personal data may remain on the device during repair.</t>
        </is>
      </c>
    </row>
    <row r="50" ht="60" customHeight="1">
      <c r="A50" s="12" t="n">
        <v>43</v>
      </c>
      <c r="B50" s="22" t="inlineStr">
        <is>
          <t>Online pharmacy</t>
        </is>
      </c>
      <c r="F50" s="20" t="inlineStr">
        <is>
          <t>to enable customers to upload and verify prescriptions, browse over-the-counter products with age and eligibility restrictions, manage secure customer health records, schedule timed delivery, and pay through regulated payment channels.</t>
        </is>
      </c>
    </row>
    <row r="51" ht="60" customHeight="1">
      <c r="A51" s="12" t="n">
        <v>44</v>
      </c>
      <c r="B51" s="22" t="inlineStr">
        <is>
          <t>Bicycle rental service with damage assessment</t>
        </is>
      </c>
      <c r="F51" s="20" t="inlineStr">
        <is>
          <t>to enable customers to reserve bicycles by type and size, choose hourly or daily rental, pay a refundable deposit, pick up from one branch and return to another, with damage assessment, refund tracking, and customer reliability scoring.</t>
        </is>
      </c>
    </row>
    <row r="52" ht="60" customHeight="1">
      <c r="A52" s="12" t="n">
        <v>45</v>
      </c>
      <c r="B52" s="22" t="inlineStr">
        <is>
          <t>Veterinary clinic appointments</t>
        </is>
      </c>
      <c r="F52" s="20" t="inlineStr">
        <is>
          <t>to enable pet owners to register their pets, book appointments with vets by specialism, view vaccination history and medical records, and pay consultation fees online.</t>
        </is>
      </c>
    </row>
    <row r="53" ht="60" customHeight="1">
      <c r="A53" s="12" t="n">
        <v>46</v>
      </c>
      <c r="B53" s="22" t="inlineStr">
        <is>
          <t>Catering service for events with custom-menu builder</t>
        </is>
      </c>
      <c r="F53" s="20" t="inlineStr">
        <is>
          <t>to enable customers to choose from set menus or build a custom menu, specify guest count and dietary requirements, schedule delivery and on-site setup, and pay a deposit.</t>
        </is>
      </c>
    </row>
    <row r="54" ht="60" customHeight="1">
      <c r="A54" s="12" t="n">
        <v>47</v>
      </c>
      <c r="B54" s="22" t="inlineStr">
        <is>
          <t>Tailoring and alterations shop with measurement records</t>
        </is>
      </c>
      <c r="F54" s="20" t="inlineStr">
        <is>
          <t>to enable customers to book fittings, select fabric and style options, store and update personal measurement records and fitting history, track the progress of bespoke garments, and arrange pickup or home delivery.</t>
        </is>
      </c>
    </row>
    <row r="55" ht="60" customHeight="1">
      <c r="A55" s="12" t="n">
        <v>48</v>
      </c>
      <c r="B55" s="22" t="inlineStr">
        <is>
          <t>Computer parts shop</t>
        </is>
      </c>
      <c r="F55" s="20" t="inlineStr">
        <is>
          <t>to enable customers to browse components by compatibility, build a configuration, request availability checks across branches, and pay for delivery or in-store collection.</t>
        </is>
      </c>
    </row>
    <row r="56" ht="60" customHeight="1">
      <c r="A56" s="12" t="n">
        <v>49</v>
      </c>
      <c r="B56" s="22" t="inlineStr">
        <is>
          <t>Used-book exchange platform</t>
        </is>
      </c>
      <c r="F56" s="20" t="inlineStr">
        <is>
          <t>to enable customers to list, browse and trade or buy used academic and general books, schedule meetings between buyer and seller, process secure payment with escrow protection, and manage user reputation and abuse prevention.</t>
        </is>
      </c>
    </row>
    <row r="57" ht="60" customHeight="1">
      <c r="A57" s="12" t="n">
        <v>50</v>
      </c>
      <c r="B57" s="22" t="inlineStr">
        <is>
          <t>Gym membership and class booking</t>
        </is>
      </c>
      <c r="F57" s="20" t="inlineStr">
        <is>
          <t>to enable customers to register, complete health screening forms, choose membership tiers, book group classes by instructor and time, manage their schedule, and pay monthly fees online.</t>
        </is>
      </c>
    </row>
    <row r="58" ht="60" customHeight="1">
      <c r="A58" s="12" t="n">
        <v>51</v>
      </c>
      <c r="B58" s="22" t="inlineStr">
        <is>
          <t>Blood donation drive coordination</t>
        </is>
      </c>
      <c r="F58" s="20" t="inlineStr">
        <is>
          <t>to enable hospitals, blood banks and partner organisations (such as the Palestinian Red Crescent Society or universities) to plan and run blood donation drives in the Ramallah area: schedule drives at venues, set quotas by blood type, register and screen donors for eligibility, manage time-slot bookings, track yields per drive, and notify donors about results and follow-up donation windows.</t>
        </is>
      </c>
    </row>
    <row r="59" ht="60" customHeight="1">
      <c r="A59" s="12" t="n">
        <v>52</v>
      </c>
      <c r="B59" s="22" t="inlineStr">
        <is>
          <t>Donor-centred blood donation network</t>
        </is>
      </c>
      <c r="F59" s="20" t="inlineStr">
        <is>
          <t>to enable individual donors in the Ramallah area to register, build a profile (blood type, eligibility status, last donation date, donation history), receive urgent requests broadcast to compatible nearby donors when a hospital needs a specific blood type, locate the nearest active drive or hospital currently accepting their blood type, and maintain a verifiable personal donation record. Distinct in scope from business 51, which centres on the organising side (hospitals and drives).</t>
        </is>
      </c>
    </row>
    <row r="61" ht="30" customHeight="1">
      <c r="A61" s="23" t="inlineStr">
        <is>
          <t>Note: every business is to be developed as a web-based or mobile application with a security aspect (user accounts, authentication, secure payment, or sensitive data handling).</t>
        </is>
      </c>
    </row>
  </sheetData>
  <mergeCells count="53">
    <mergeCell ref="Q5:S5"/>
    <mergeCell ref="B49:E49"/>
    <mergeCell ref="F46:U46"/>
    <mergeCell ref="F58:U58"/>
    <mergeCell ref="F56:U56"/>
    <mergeCell ref="N5:P5"/>
    <mergeCell ref="B55:E55"/>
    <mergeCell ref="B51:E51"/>
    <mergeCell ref="F52:U52"/>
    <mergeCell ref="F48:U48"/>
    <mergeCell ref="A3:U3"/>
    <mergeCell ref="C35:J35"/>
    <mergeCell ref="B45:E45"/>
    <mergeCell ref="F49:U49"/>
    <mergeCell ref="A2:U2"/>
    <mergeCell ref="B50:E50"/>
    <mergeCell ref="B54:E54"/>
    <mergeCell ref="F57:U57"/>
    <mergeCell ref="F53:U53"/>
    <mergeCell ref="B47:E47"/>
    <mergeCell ref="B59:E59"/>
    <mergeCell ref="F44:U44"/>
    <mergeCell ref="B46:E46"/>
    <mergeCell ref="F54:U54"/>
    <mergeCell ref="C40:J40"/>
    <mergeCell ref="A5:A6"/>
    <mergeCell ref="B56:E56"/>
    <mergeCell ref="U5:U6"/>
    <mergeCell ref="B58:E58"/>
    <mergeCell ref="H5:J5"/>
    <mergeCell ref="B52:E52"/>
    <mergeCell ref="B48:E48"/>
    <mergeCell ref="C36:J36"/>
    <mergeCell ref="F55:U55"/>
    <mergeCell ref="B5:B6"/>
    <mergeCell ref="C39:J39"/>
    <mergeCell ref="F59:U59"/>
    <mergeCell ref="D5:D6"/>
    <mergeCell ref="F51:U51"/>
    <mergeCell ref="A1:U1"/>
    <mergeCell ref="B57:E57"/>
    <mergeCell ref="F45:U45"/>
    <mergeCell ref="B53:E53"/>
    <mergeCell ref="E5:G5"/>
    <mergeCell ref="K5:M5"/>
    <mergeCell ref="F50:U50"/>
    <mergeCell ref="C38:J38"/>
    <mergeCell ref="B44:E44"/>
    <mergeCell ref="C37:J37"/>
    <mergeCell ref="T5:T6"/>
    <mergeCell ref="F47:U47"/>
    <mergeCell ref="A61:U61"/>
    <mergeCell ref="C5:C6"/>
  </mergeCells>
  <printOptions horizontalCentered="1"/>
  <pageMargins left="0.3" right="0.3" top="0.4" bottom="0.4" header="0.511811023622047" footer="0.511811023622047"/>
  <pageSetup orientation="landscape" paperSize="8" fitToHeight="0" horizontalDpi="300" verticalDpi="300"/>
</worksheet>
</file>

<file path=xl/worksheets/sheet3.xml><?xml version="1.0" encoding="utf-8"?>
<worksheet xmlns="http://schemas.openxmlformats.org/spreadsheetml/2006/main">
  <sheetPr>
    <outlinePr summaryBelow="1" summaryRight="1"/>
    <pageSetUpPr fitToPage="1"/>
  </sheetPr>
  <dimension ref="A1:C6"/>
  <sheetViews>
    <sheetView zoomScaleNormal="100" workbookViewId="0">
      <selection activeCell="A1" sqref="A1"/>
    </sheetView>
  </sheetViews>
  <sheetFormatPr baseColWidth="8" defaultColWidth="8.7109375" defaultRowHeight="15"/>
  <cols>
    <col width="30" customWidth="1" min="1" max="1"/>
    <col width="16" customWidth="1" min="2" max="2"/>
    <col width="60" customWidth="1" min="3" max="3"/>
  </cols>
  <sheetData>
    <row r="1" ht="17.45" customHeight="1">
      <c r="A1" s="32" t="inlineStr">
        <is>
          <t>COMP433 Section 5 — Unassigned Students</t>
        </is>
      </c>
    </row>
    <row r="2">
      <c r="A2" s="30" t="inlineStr">
        <is>
          <t>These students are not yet in any group. Please contact the instructor by email to be assigned to a group.</t>
        </is>
      </c>
    </row>
    <row r="4" ht="24.75" customHeight="1">
      <c r="A4" s="26" t="inlineStr">
        <is>
          <t>Name</t>
        </is>
      </c>
      <c r="B4" s="26" t="inlineStr">
        <is>
          <t>Student ID</t>
        </is>
      </c>
      <c r="C4" s="26" t="inlineStr">
        <is>
          <t>Action Required</t>
        </is>
      </c>
    </row>
    <row r="5" ht="24.75" customHeight="1">
      <c r="A5" s="5" t="inlineStr">
        <is>
          <t>Aysha Hasan</t>
        </is>
      </c>
      <c r="B5" s="5" t="inlineStr">
        <is>
          <t>1220352</t>
        </is>
      </c>
      <c r="C5" s="5" t="inlineStr">
        <is>
          <t>Please contact instructor by Wed 6 May 2026</t>
        </is>
      </c>
    </row>
    <row r="6" ht="24.75" customHeight="1">
      <c r="A6" s="5" t="inlineStr">
        <is>
          <t>Saleh Salameen</t>
        </is>
      </c>
      <c r="B6" s="5" t="inlineStr">
        <is>
          <t>1211693</t>
        </is>
      </c>
      <c r="C6" s="5" t="inlineStr">
        <is>
          <t>Please contact instructor by Wed 6 May 2026</t>
        </is>
      </c>
    </row>
  </sheetData>
  <mergeCells count="2">
    <mergeCell ref="A1:C1"/>
    <mergeCell ref="A2:C2"/>
  </mergeCells>
  <pageMargins left="0.4" right="0.4" top="1" bottom="1" header="0.511811023622047" footer="0.511811023622047"/>
  <pageSetup orientation="landscape" paperSize="9" fitToHeight="0" horizontalDpi="300" verticalDpi="300"/>
</worksheet>
</file>

<file path=xl/worksheets/sheet4.xml><?xml version="1.0" encoding="utf-8"?>
<worksheet xmlns="http://schemas.openxmlformats.org/spreadsheetml/2006/main">
  <sheetPr>
    <outlinePr summaryBelow="1" summaryRight="1"/>
    <pageSetUpPr fitToPage="1"/>
  </sheetPr>
  <dimension ref="A1:D15"/>
  <sheetViews>
    <sheetView zoomScaleNormal="100" workbookViewId="0">
      <selection activeCell="A1" sqref="A1"/>
    </sheetView>
  </sheetViews>
  <sheetFormatPr baseColWidth="8" defaultColWidth="8.7109375" defaultRowHeight="15"/>
  <cols>
    <col width="22" customWidth="1" min="1" max="1"/>
    <col width="18" customWidth="1" min="2" max="2"/>
    <col width="56" customWidth="1" min="3" max="3"/>
    <col width="14" customWidth="1" min="4" max="4"/>
  </cols>
  <sheetData>
    <row r="1" ht="25.5" customHeight="1">
      <c r="A1" s="27" t="inlineStr">
        <is>
          <t>COMP433 Project Timeline — Section 5 (indicative)</t>
        </is>
      </c>
    </row>
    <row r="2" ht="21.75" customHeight="1">
      <c r="A2" s="28" t="inlineStr">
        <is>
          <t>Class days: Monday, Wednesday, Saturday. Course end: Tuesday 23 June 2026. Dates indicative; phase deadlines may be adjusted.</t>
        </is>
      </c>
    </row>
    <row r="4" ht="24" customHeight="1">
      <c r="A4" s="14" t="inlineStr">
        <is>
          <t>Phase</t>
        </is>
      </c>
      <c r="B4" s="14" t="inlineStr">
        <is>
          <t>Indicative deadline</t>
        </is>
      </c>
      <c r="C4" s="14" t="inlineStr">
        <is>
          <t>Deliverable</t>
        </is>
      </c>
      <c r="D4" s="14" t="inlineStr">
        <is>
          <t>Marks</t>
        </is>
      </c>
    </row>
    <row r="5" ht="60" customHeight="1">
      <c r="A5" s="15" t="inlineStr">
        <is>
          <t>Phase 0 — Initiation</t>
        </is>
      </c>
      <c r="B5" s="16" t="inlineStr">
        <is>
          <t>Sat 2 May 2026</t>
        </is>
      </c>
      <c r="C5" s="17" t="inlineStr">
        <is>
          <t>Confirm group composition, choose 3 ranked business preferences, choose management strategy, each member selects a role.</t>
        </is>
      </c>
      <c r="D5" s="18" t="inlineStr">
        <is>
          <t>Not marked</t>
        </is>
      </c>
    </row>
    <row r="6" ht="60" customHeight="1">
      <c r="A6" s="15" t="inlineStr">
        <is>
          <t>Phase 1 — Business Definition</t>
        </is>
      </c>
      <c r="B6" s="16" t="inlineStr">
        <is>
          <t>Sat 9 May 2026</t>
        </is>
      </c>
      <c r="C6" s="17" t="inlineStr">
        <is>
          <t>Each group, in CUSTOMER role, writes a 1 to 2 page Business Description for the business allocated to its assigned developer group. Workshop interview held in class on the deadline date.</t>
        </is>
      </c>
      <c r="D6" s="18" t="inlineStr">
        <is>
          <t>5 (group)</t>
        </is>
      </c>
    </row>
    <row r="7" ht="60" customHeight="1">
      <c r="A7" s="15" t="inlineStr">
        <is>
          <t>Phase 2 — Requirements Engineering</t>
        </is>
      </c>
      <c r="B7" s="16" t="inlineStr">
        <is>
          <t>Sat 30 May 2026</t>
        </is>
      </c>
      <c r="C7" s="17" t="inlineStr">
        <is>
          <t>User Requirements (5), System Requirements (5), Effort and Cost Estimation (5). All in DEVELOPER role on own business.</t>
        </is>
      </c>
      <c r="D7" s="18" t="inlineStr">
        <is>
          <t>15 (group)</t>
        </is>
      </c>
    </row>
    <row r="8" ht="60" customHeight="1">
      <c r="A8" s="15" t="inlineStr">
        <is>
          <t>Phase 3 — Requirements Analysis &amp; Modelling</t>
        </is>
      </c>
      <c r="B8" s="16" t="inlineStr">
        <is>
          <t>Sat 13 June 2026</t>
        </is>
      </c>
      <c r="C8" s="17" t="inlineStr">
        <is>
          <t>Actors and Use Case Diagram (group), Use Case Description (individual, one per member), Activity Diagram (group). Tasks 3.1 and 3.6 omitted this semester.</t>
        </is>
      </c>
      <c r="D8" s="18" t="inlineStr">
        <is>
          <t>22 (15 grp + 7 ind)</t>
        </is>
      </c>
    </row>
    <row r="9" ht="60" customHeight="1">
      <c r="A9" s="15" t="inlineStr">
        <is>
          <t>Phase 4 — System Modelling &amp; Design</t>
        </is>
      </c>
      <c r="B9" s="16" t="inlineStr">
        <is>
          <t>Sat 20 June 2026</t>
        </is>
      </c>
      <c r="C9" s="17" t="inlineStr">
        <is>
          <t>Analysis Class Diagram, Detailed Class Diagram, Sequence Diagrams (individual, one per member), Design Goals, Architecture Diagram, Component Diagram, Deployment Diagram. Tasks 4.3 and 4.5 omitted this semester.</t>
        </is>
      </c>
      <c r="D9" s="18" t="inlineStr">
        <is>
          <t>32 (25 grp + 7 ind)</t>
        </is>
      </c>
    </row>
    <row r="10" ht="60" customHeight="1">
      <c r="A10" s="15" t="inlineStr">
        <is>
          <t>Project Presentations</t>
        </is>
      </c>
      <c r="B10" s="16" t="inlineStr">
        <is>
          <t>TBC (final week)</t>
        </is>
      </c>
      <c r="C10" s="17" t="inlineStr">
        <is>
          <t>Each group presents the project; group is assessed as a whole, and each member is assessed individually.</t>
        </is>
      </c>
      <c r="D10" s="18" t="inlineStr">
        <is>
          <t>20</t>
        </is>
      </c>
    </row>
    <row r="11" ht="60" customHeight="1">
      <c r="A11" s="15" t="inlineStr">
        <is>
          <t>Contribution to Group</t>
        </is>
      </c>
      <c r="B11" s="16" t="inlineStr">
        <is>
          <t>Submitted with final report</t>
        </is>
      </c>
      <c r="C11" s="17" t="inlineStr">
        <is>
          <t>Each member writes a list of group tasks they contributed to. Strong contributors receive bonus marks; weak contributors receive a deduction.</t>
        </is>
      </c>
      <c r="D11" s="18" t="inlineStr">
        <is>
          <t>+/- 6</t>
        </is>
      </c>
    </row>
    <row r="13" ht="15" customHeight="1">
      <c r="A13" s="24" t="inlineStr">
        <is>
          <t>Total project marks (out of 100)</t>
        </is>
      </c>
      <c r="D13" s="13" t="n">
        <v>100</v>
      </c>
    </row>
    <row r="15" ht="36" customHeight="1">
      <c r="A15" s="29" t="inlineStr">
        <is>
          <t>Marking convention: phases are graded A / B / C / D, then converted to a weighted percentage of the per-phase total. All phases are graded by the instructor.</t>
        </is>
      </c>
    </row>
  </sheetData>
  <mergeCells count="4">
    <mergeCell ref="A1:D1"/>
    <mergeCell ref="A13:C13"/>
    <mergeCell ref="A2:D2"/>
    <mergeCell ref="A15:D15"/>
  </mergeCells>
  <printOptions horizontalCentered="1"/>
  <pageMargins left="0.4" right="0.4" top="0.4" bottom="0.4"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2026-05-05T19:44:17Z</dcterms:created>
  <dcterms:modified xmlns:dcterms="http://purl.org/dc/terms/" xmlns:xsi="http://www.w3.org/2001/XMLSchema-instance" xsi:type="dcterms:W3CDTF">2026-05-08T21:16:26Z</dcterms:modified>
  <cp:revision>0</cp:revision>
</cp:coreProperties>
</file>